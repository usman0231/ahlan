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siancup2027-my.sharepoint.com/personal/mazafar_asiancup2027_sa/Documents/Desktop/Work/Tournament Checklists/"/>
    </mc:Choice>
  </mc:AlternateContent>
  <xr:revisionPtr revIDLastSave="257" documentId="8_{7CE1E14A-169F-4C57-947F-B14ED2017411}" xr6:coauthVersionLast="47" xr6:coauthVersionMax="47" xr10:uidLastSave="{2DEB0D7D-DEEF-4A6A-8EC9-141F5AC6F335}"/>
  <bookViews>
    <workbookView xWindow="-28920" yWindow="3135" windowWidth="29040" windowHeight="15720" xr2:uid="{00000000-000D-0000-FFFF-FFFF00000000}"/>
  </bookViews>
  <sheets>
    <sheet name="Summary" sheetId="1" r:id="rId1"/>
    <sheet name="Outer perimeter checklist" sheetId="2" r:id="rId2"/>
    <sheet name="PSA Safety checklist" sheetId="3" r:id="rId3"/>
    <sheet name="Inner perimeter checklist" sheetId="4" r:id="rId4"/>
    <sheet name="Inside stadium checklist" sheetId="5" r:id="rId5"/>
    <sheet name="Staircase checklist" sheetId="6" r:id="rId6"/>
    <sheet name="Prematch checklist" sheetId="7" r:id="rId7"/>
    <sheet name="Sheet1" sheetId="8" state="hidden" r:id="rId8"/>
  </sheets>
  <definedNames>
    <definedName name="_xlnm.Print_Area" localSheetId="3">'Inner perimeter checklist'!$A$1:$F$20</definedName>
    <definedName name="_xlnm.Print_Area" localSheetId="4">'Inside stadium checklist'!$A$1:$F$17</definedName>
    <definedName name="_xlnm.Print_Area" localSheetId="1">'Outer perimeter checklist'!$A$1:$F$17</definedName>
    <definedName name="_xlnm.Print_Area" localSheetId="6">'Prematch checklist'!$A$1:$F$17</definedName>
    <definedName name="_xlnm.Print_Area" localSheetId="2">'PSA Safety checklist'!$A$1:$F$16</definedName>
    <definedName name="_xlnm.Print_Area" localSheetId="5">'Staircase checklist'!$A$1:$F$17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7" l="1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6" i="7"/>
  <c r="C19" i="6"/>
  <c r="D7" i="6"/>
  <c r="D8" i="6"/>
  <c r="D9" i="6"/>
  <c r="D10" i="6"/>
  <c r="D11" i="6"/>
  <c r="D12" i="6"/>
  <c r="D13" i="6"/>
  <c r="D14" i="6"/>
  <c r="D15" i="6"/>
  <c r="D16" i="6"/>
  <c r="D17" i="6"/>
  <c r="D18" i="6"/>
  <c r="D6" i="6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C22" i="2"/>
  <c r="D18" i="2"/>
  <c r="D19" i="2"/>
  <c r="D20" i="2"/>
  <c r="D21" i="2"/>
  <c r="C24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6" i="5"/>
  <c r="C22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6" i="4"/>
  <c r="C21" i="3"/>
  <c r="D6" i="3"/>
  <c r="D7" i="2"/>
  <c r="D8" i="2"/>
  <c r="D9" i="2"/>
  <c r="D10" i="2"/>
  <c r="D11" i="2"/>
  <c r="D12" i="2"/>
  <c r="D13" i="2"/>
  <c r="D14" i="2"/>
  <c r="D15" i="2"/>
  <c r="D16" i="2"/>
  <c r="D17" i="2"/>
  <c r="D6" i="2"/>
  <c r="E20" i="7" l="1"/>
  <c r="D20" i="7"/>
  <c r="D19" i="6"/>
  <c r="E19" i="6"/>
  <c r="E21" i="3"/>
  <c r="E22" i="2"/>
  <c r="D22" i="2"/>
  <c r="E24" i="5"/>
  <c r="D24" i="5"/>
  <c r="E22" i="4"/>
  <c r="D22" i="4"/>
  <c r="D21" i="3"/>
</calcChain>
</file>

<file path=xl/sharedStrings.xml><?xml version="1.0" encoding="utf-8"?>
<sst xmlns="http://schemas.openxmlformats.org/spreadsheetml/2006/main" count="185" uniqueCount="128">
  <si>
    <t>Summary of checklists</t>
  </si>
  <si>
    <t>Sr.</t>
  </si>
  <si>
    <t>Title</t>
  </si>
  <si>
    <t>Outer perimeter checklist</t>
  </si>
  <si>
    <t>Inner perimeter checklist</t>
  </si>
  <si>
    <t>Inside stadium checklist</t>
  </si>
  <si>
    <t>Prematch checklist</t>
  </si>
  <si>
    <t>Staircase checklist</t>
  </si>
  <si>
    <t>PSA Safety checklist</t>
  </si>
  <si>
    <t>OUTER PERIMETER CHECKLIST FOR STADIUM</t>
  </si>
  <si>
    <t>Date of Inspection :</t>
  </si>
  <si>
    <t>Inspector name       :</t>
  </si>
  <si>
    <t>Location                  :</t>
  </si>
  <si>
    <t>Description</t>
  </si>
  <si>
    <t>Answer</t>
  </si>
  <si>
    <t>Score</t>
  </si>
  <si>
    <t>Concern/observation</t>
  </si>
  <si>
    <t>Recommendation/Action required</t>
  </si>
  <si>
    <t>Identification of gates are available</t>
  </si>
  <si>
    <t>Are the gates stable and well-supported</t>
  </si>
  <si>
    <t>Are gates free of trip and fall hazards</t>
  </si>
  <si>
    <t>Do the edge of gate have anti slip finish</t>
  </si>
  <si>
    <t>Is adequate lighting available for gate</t>
  </si>
  <si>
    <t>Electrical cables are arranged properly</t>
  </si>
  <si>
    <t>Are the gate free from debris or storage</t>
  </si>
  <si>
    <t>Are area under and surrounding the gate free of storage</t>
  </si>
  <si>
    <t xml:space="preserve">Are the gate surrounding has necessary signages </t>
  </si>
  <si>
    <t>Counterweight of the fences are stable</t>
  </si>
  <si>
    <t>Emergency exit gates are clearly marked</t>
  </si>
  <si>
    <t>Are the pedestrian access will not be disturb with vehicle movement</t>
  </si>
  <si>
    <t>Public Security Access (PSA)  SAFETY CHECKLIST FOR  STADIUM</t>
  </si>
  <si>
    <t>Location                      :</t>
  </si>
  <si>
    <t>INNER PERIMETER CHECKLIST FOR  STADIUM</t>
  </si>
  <si>
    <t>Total</t>
  </si>
  <si>
    <t>STAIRCASE CHECKLIST FOR STADIUM</t>
  </si>
  <si>
    <t>PREMATCH CHECKLIST FOR STADIUM</t>
  </si>
  <si>
    <t>6th Jan 2026</t>
  </si>
  <si>
    <t xml:space="preserve">Inspector name       : </t>
  </si>
  <si>
    <t>YES</t>
  </si>
  <si>
    <t>NO</t>
  </si>
  <si>
    <t>NA</t>
  </si>
  <si>
    <t>Use of the checklists</t>
  </si>
  <si>
    <t>YES = satisfactory; NO = concern; NA = not applicable. Blanks and NA do not affect the percentage score.</t>
  </si>
  <si>
    <t>Firefighting equipment</t>
  </si>
  <si>
    <t>Extinguishers: check pin/seal, hose/nozzle and pressure indicator where fitted. Hose reels: check hose/nozzle, cabinet access and visible leakage. Use NA where equipment is not required in the inspected area.</t>
  </si>
  <si>
    <t>Inspection scope</t>
  </si>
  <si>
    <t>These are physical readiness checks. FRA, certificates, drills, servicing and technical tests remain separate processes. System readiness can be confirmed by the responsible operator.</t>
  </si>
  <si>
    <t>Reference basis</t>
  </si>
  <si>
    <t>AFC Stadium Regulations (2026)</t>
  </si>
  <si>
    <t>https://assets.the-afc.com/downloads/tournament-regulations/AFC-Stadium-Regulations-%28Edition-2026%29-.pdf</t>
  </si>
  <si>
    <t>FIFA Stadium Guidelines: testing and inspections</t>
  </si>
  <si>
    <t>https://publications.fifa.com/fr/football-stadiums-guidelines/general-process-guidelines/operations/testing-and-inspections/</t>
  </si>
  <si>
    <t>Are PSA identification and direction signs in place and legible?</t>
  </si>
  <si>
    <t>Is the PSA structure visibly stable, well-supported and free from damage?</t>
  </si>
  <si>
    <t>Is access to the PSA free from trip and fall hazards?</t>
  </si>
  <si>
    <t>Are PSA egress routes clear and free from trip and fall hazards?</t>
  </si>
  <si>
    <t>Are PSA walking surfaces and thresholds slip-resistant?</t>
  </si>
  <si>
    <t>Is adequate lighting available in the PSA?</t>
  </si>
  <si>
    <t>Are screening and queue barriers secure and arranged without blocking access or escape routes?</t>
  </si>
  <si>
    <t>Are the PSAs free from debris or storage?</t>
  </si>
  <si>
    <t>Are the areas under and around the PSAs free from unnecessary storage?</t>
  </si>
  <si>
    <t>Are electrical cables secured and protected, without exposed damage or trip hazards?</t>
  </si>
  <si>
    <t>Are accessible surfaces and edges free from sharp projections?</t>
  </si>
  <si>
    <t>Are garbage bins properly maintained?</t>
  </si>
  <si>
    <t>Are designated accessible screening lanes and their approach routes clear and usable?</t>
  </si>
  <si>
    <t>Where fitted, can designated emergency exit gates be opened readily, with release devices unobstructed?</t>
  </si>
  <si>
    <t>Are required extinguishers and hose reels in place, accessible, visibly undamaged and within their indicated inspection/service period?</t>
  </si>
  <si>
    <t>SCORE" YES/YES+NO)</t>
  </si>
  <si>
    <t>Are generators and distribution boards secured, with covers closed, ventilation clear and no visible damage or fuel leakage?</t>
  </si>
  <si>
    <t>Are designated smoking areas free from combustible materials?</t>
  </si>
  <si>
    <t>Are the surrounding areas free from trip and fall hazards?</t>
  </si>
  <si>
    <t>Are drain covers in place, secure and free from hazardous gaps or changes in level?</t>
  </si>
  <si>
    <t>Are fan-zone cables secured and protected without obstructing pedestrian routes?</t>
  </si>
  <si>
    <t>Are garbage bins available in the required locations?</t>
  </si>
  <si>
    <t>Are the surrounding areas free from unnecessary storage?</t>
  </si>
  <si>
    <t>Are required direction and safety signs in place and legible?</t>
  </si>
  <si>
    <t>Is adequate lighting available in the area?</t>
  </si>
  <si>
    <t>Are media cables secured and protected without creating trip hazards?</t>
  </si>
  <si>
    <t>Are toilets usable, with safe access, secure fittings and floors free from slip or trip hazards?</t>
  </si>
  <si>
    <t>Where cooking is provided, are heat sources clear of combustibles and gas cylinders or fuel containers secured in their designated locations?</t>
  </si>
  <si>
    <t>Are temporary tents, platforms, signs and other installations visibly secure and free from damage?</t>
  </si>
  <si>
    <t>Are fire hydrants and fire-service connections unobstructed, where provided?</t>
  </si>
  <si>
    <t>Are emergency vehicle routes and access points within the inner perimeter clear?</t>
  </si>
  <si>
    <t>Score: YES / (YES + NO)</t>
  </si>
  <si>
    <t>Are pitch-area cables secured and protected without obstructing access or creating trip hazards?</t>
  </si>
  <si>
    <t>Are media cables in seating areas secured without obstructing seats or aisles?</t>
  </si>
  <si>
    <t>Are generators, distribution boards and backup-power equipment secured, with covers closed and no obvious damage?</t>
  </si>
  <si>
    <t>Are required exit, direction and safety signs in place, visible and legible?</t>
  </si>
  <si>
    <t>Is the area free from unnecessary storage of combustible, flammable or other materials?</t>
  </si>
  <si>
    <t>Are circulation routes, aisles and exit routes free from obstruction?</t>
  </si>
  <si>
    <t>Are accessible seating spaces and companion seats clear and free from hazards?</t>
  </si>
  <si>
    <t>Are accessible toilets usable, with clear access and secure fittings?</t>
  </si>
  <si>
    <t>Are media cables elsewhere inside the building secured and protected without creating trip hazards?</t>
  </si>
  <si>
    <t>Is adequate lighting available in all occupied areas and circulation routes?</t>
  </si>
  <si>
    <t>Are spectator seats secure and free from broken parts or sharp edges?</t>
  </si>
  <si>
    <t>Are balustrades, guards and spectator barriers complete, secure and free from visible damage?</t>
  </si>
  <si>
    <t>Are fire doors undamaged, free from improper wedges and able to close and latch as intended?</t>
  </si>
  <si>
    <t>Are accessible paths, ramps, exit routes and designated refuge spaces, where provided, clear and usable?</t>
  </si>
  <si>
    <t>Are designated first-aid rooms identifiable, accessible and free from unrelated storage?</t>
  </si>
  <si>
    <t>Are temporary platforms, signs and overhead fixtures visibly secure and free from obvious damage?</t>
  </si>
  <si>
    <t>Are fire alarm call points, hose cabinets and fire-service access points visible and unobstructed?</t>
  </si>
  <si>
    <t>Are stair identification and exit signs in place and legible?</t>
  </si>
  <si>
    <t>Are stairs and landings visibly stable, supported and free from damaged or missing treads?</t>
  </si>
  <si>
    <t>Are stairs free from trip and fall hazards?</t>
  </si>
  <si>
    <t>Are stair nosings and anti-slip finishes intact?</t>
  </si>
  <si>
    <t>Is adequate lighting available on the stairs and landings?</t>
  </si>
  <si>
    <t>Is emergency lighting available on the stairs and landings?</t>
  </si>
  <si>
    <t>Are stairs and landings free from debris, storage and other obstructions?</t>
  </si>
  <si>
    <t>Are the areas under and around the stairs free from unnecessary storage?</t>
  </si>
  <si>
    <t>Are stair landings clear, with doors opening freely without creating a hazard at the steps?</t>
  </si>
  <si>
    <t>Are required handrails and guards present, secure and free from damage?</t>
  </si>
  <si>
    <t>Can emergency announcements be heard clearly in the stair area?</t>
  </si>
  <si>
    <t>Where provided, are stair smoke-control or pressurisation systems confirmed available for operation?</t>
  </si>
  <si>
    <t>Are stair-enclosure fire doors undamaged, free from improper wedges and able to close and latch?</t>
  </si>
  <si>
    <t>Are critical assets secured and the required backup power confirmed available by the responsible operator?</t>
  </si>
  <si>
    <t>Where a firefighters' lift is provided, are its access keys available to the designated responsible person?</t>
  </si>
  <si>
    <t>Has the responsible operator confirmed that the fire alarm system is available in the approved event configuration?</t>
  </si>
  <si>
    <t>Are the radios ready to use?</t>
  </si>
  <si>
    <t>Are volunteers briefed and deployed?</t>
  </si>
  <si>
    <t>Are all access points free from trip, slip and fall hazards?</t>
  </si>
  <si>
    <t>Have hospitality and protocol staff received their safety briefing and induction?</t>
  </si>
  <si>
    <t>Have the Venue Commander and VOC members received their safety briefing and induction?</t>
  </si>
  <si>
    <t>Has the PA system been tested and confirmed operational?</t>
  </si>
  <si>
    <t>Has emergency lighting been checked and confirmed operational?</t>
  </si>
  <si>
    <t>Are emergency exits and access routes clear, with designated exit doors and gates unlocked and ready for use?</t>
  </si>
  <si>
    <t>Are identified defects from the safety readiness inspection closed or escalated before opening?</t>
  </si>
  <si>
    <t>Are required CCTV, turnstile/counting and entry-control systems confirmed ready by their responsible operators?</t>
  </si>
  <si>
    <t>Other observations (not scored)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</si>
</sst>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libri"/>
      <charset val="134"/>
    </font>
    <font>
      <sz val="11"/>
      <color rgb="FF000000"/>
      <name val="Aptos"/>
      <charset val="134"/>
    </font>
    <font>
      <b/>
      <sz val="20"/>
      <color rgb="FFFFFFFF"/>
      <name val="Aptos"/>
      <charset val="134"/>
    </font>
    <font>
      <b/>
      <sz val="11"/>
      <color rgb="FF000000"/>
      <name val="Aptos"/>
      <charset val="134"/>
    </font>
    <font>
      <b/>
      <sz val="11"/>
      <color rgb="FFFFFFFF"/>
      <name val="Aptos"/>
      <charset val="134"/>
    </font>
    <font>
      <sz val="11"/>
      <color rgb="FF000000"/>
      <name val="Calibri"/>
      <charset val="134"/>
    </font>
    <font>
      <b/>
      <sz val="11"/>
      <name val="Aptos"/>
      <charset val="134"/>
    </font>
    <font>
      <b/>
      <sz val="11"/>
      <color rgb="FFFFFFFF"/>
      <name val="Calibri"/>
      <charset val="134"/>
    </font>
    <font>
      <sz val="11"/>
      <color rgb="FFFFFFFF"/>
      <name val="Aptos"/>
      <charset val="134"/>
    </font>
    <font>
      <sz val="18"/>
      <color rgb="FF000000"/>
      <name val="Aptos"/>
      <charset val="134"/>
    </font>
    <font>
      <b/>
      <sz val="18"/>
      <color rgb="FFFFFFFF"/>
      <name val="Aptos"/>
      <charset val="134"/>
    </font>
    <font>
      <b/>
      <sz val="18"/>
      <color rgb="FF000000"/>
      <name val="Aptos"/>
      <charset val="134"/>
    </font>
    <font>
      <u/>
      <sz val="18"/>
      <color rgb="FF0000FF"/>
      <name val="Aptos"/>
      <charset val="134"/>
    </font>
    <font>
      <u/>
      <sz val="11"/>
      <color rgb="FF0000FF"/>
      <name val="Calibri"/>
      <charset val="134"/>
    </font>
    <font>
      <b/>
      <sz val="11"/>
      <color theme="0"/>
      <name val="Aptos"/>
      <family val="2"/>
    </font>
    <font>
      <b/>
      <sz val="11"/>
      <color rgb="FFFFFFFF"/>
      <name val="Aptos"/>
      <family val="2"/>
    </font>
    <font>
      <b/>
      <sz val="11"/>
      <color theme="0"/>
      <name val="Calibri"/>
      <family val="2"/>
    </font>
    <font>
      <b/>
      <sz val="11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4A7E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8EB4E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9" fontId="5" fillId="0" borderId="0">
      <protection locked="0"/>
    </xf>
    <xf numFmtId="0" fontId="13" fillId="0" borderId="0">
      <protection locked="0"/>
    </xf>
  </cellStyleXfs>
  <cellXfs count="56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4" fillId="3" borderId="0" xfId="0" applyFont="1" applyFill="1" applyAlignment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9" fontId="4" fillId="3" borderId="0" xfId="1" applyFont="1" applyFill="1" applyAlignment="1" applyProtection="1">
      <alignment horizontal="center" vertical="center"/>
    </xf>
    <xf numFmtId="0" fontId="5" fillId="0" borderId="0" xfId="0" applyFont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7" fillId="3" borderId="0" xfId="0" applyFont="1" applyFill="1" applyAlignment="1"/>
    <xf numFmtId="0" fontId="7" fillId="3" borderId="0" xfId="0" applyFont="1" applyFill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9" fontId="4" fillId="3" borderId="4" xfId="1" applyFont="1" applyFill="1" applyBorder="1" applyAlignment="1" applyProtection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9" fillId="0" borderId="0" xfId="0" applyFont="1" applyAlignment="1"/>
    <xf numFmtId="0" fontId="0" fillId="0" borderId="6" xfId="0" applyBorder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9" fillId="0" borderId="0" xfId="0" applyFont="1">
      <alignment vertical="center"/>
    </xf>
    <xf numFmtId="0" fontId="8" fillId="3" borderId="0" xfId="0" applyFont="1" applyFill="1">
      <alignment vertical="center"/>
    </xf>
    <xf numFmtId="9" fontId="14" fillId="3" borderId="0" xfId="1" applyFont="1" applyFill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9" fontId="7" fillId="3" borderId="5" xfId="1" applyFont="1" applyFill="1" applyBorder="1" applyAlignment="1" applyProtection="1">
      <alignment horizontal="center" vertical="center"/>
    </xf>
    <xf numFmtId="9" fontId="16" fillId="3" borderId="5" xfId="1" applyFont="1" applyFill="1" applyBorder="1" applyAlignment="1" applyProtection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2" fillId="4" borderId="4" xfId="2" applyFont="1" applyFill="1" applyBorder="1" applyAlignment="1" applyProtection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0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707281</xdr:colOff>
      <xdr:row>0</xdr:row>
      <xdr:rowOff>673000</xdr:rowOff>
    </xdr:to>
    <xdr:pic>
      <xdr:nvPicPr>
        <xdr:cNvPr id="2" name="Picture 2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706755" cy="672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707717</xdr:colOff>
      <xdr:row>0</xdr:row>
      <xdr:rowOff>671105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707390" cy="6705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36458</xdr:colOff>
      <xdr:row>0</xdr:row>
      <xdr:rowOff>37985</xdr:rowOff>
    </xdr:from>
    <xdr:to>
      <xdr:col>0</xdr:col>
      <xdr:colOff>745571</xdr:colOff>
      <xdr:row>1</xdr:row>
      <xdr:rowOff>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6195" y="37465"/>
          <a:ext cx="709295" cy="7105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706959</xdr:colOff>
      <xdr:row>0</xdr:row>
      <xdr:rowOff>671105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706755" cy="6705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685800" cy="57912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44808</xdr:colOff>
      <xdr:row>0</xdr:row>
      <xdr:rowOff>61609</xdr:rowOff>
    </xdr:from>
    <xdr:to>
      <xdr:col>0</xdr:col>
      <xdr:colOff>730112</xdr:colOff>
      <xdr:row>0</xdr:row>
      <xdr:rowOff>632901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4450" y="61595"/>
          <a:ext cx="685165" cy="5708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E62A1"/>
  </sheetPr>
  <dimension ref="A5:C24"/>
  <sheetViews>
    <sheetView tabSelected="1" zoomScale="115" zoomScaleNormal="115" workbookViewId="0">
      <selection activeCell="E19" sqref="E19"/>
    </sheetView>
  </sheetViews>
  <sheetFormatPr defaultColWidth="9.109375" defaultRowHeight="22.2"/>
  <cols>
    <col min="1" max="2" width="9.109375" style="23"/>
    <col min="3" max="3" width="59.77734375" style="23" customWidth="1"/>
    <col min="4" max="16384" width="9.109375" style="23"/>
  </cols>
  <sheetData>
    <row r="5" spans="1:3">
      <c r="B5" s="50" t="s">
        <v>0</v>
      </c>
      <c r="C5" s="50"/>
    </row>
    <row r="6" spans="1:3">
      <c r="B6" s="36" t="s">
        <v>1</v>
      </c>
      <c r="C6" s="36" t="s">
        <v>2</v>
      </c>
    </row>
    <row r="7" spans="1:3">
      <c r="B7" s="37">
        <v>1</v>
      </c>
      <c r="C7" s="38" t="s">
        <v>3</v>
      </c>
    </row>
    <row r="8" spans="1:3">
      <c r="B8" s="37">
        <v>2</v>
      </c>
      <c r="C8" s="38" t="s">
        <v>4</v>
      </c>
    </row>
    <row r="9" spans="1:3">
      <c r="B9" s="37">
        <v>3</v>
      </c>
      <c r="C9" s="38" t="s">
        <v>5</v>
      </c>
    </row>
    <row r="10" spans="1:3">
      <c r="B10" s="37">
        <v>4</v>
      </c>
      <c r="C10" s="38" t="s">
        <v>6</v>
      </c>
    </row>
    <row r="11" spans="1:3">
      <c r="B11" s="37">
        <v>5</v>
      </c>
      <c r="C11" s="38" t="s">
        <v>7</v>
      </c>
    </row>
    <row r="12" spans="1:3">
      <c r="B12" s="37">
        <v>6</v>
      </c>
      <c r="C12" s="38" t="s">
        <v>8</v>
      </c>
    </row>
    <row r="14" spans="1:3" ht="22.2" customHeight="1">
      <c r="A14" s="53" t="s">
        <v>41</v>
      </c>
      <c r="B14" s="54"/>
      <c r="C14" s="55"/>
    </row>
    <row r="15" spans="1:3" s="27" customFormat="1" ht="37.799999999999997" customHeight="1">
      <c r="A15" s="47" t="s">
        <v>42</v>
      </c>
      <c r="B15" s="48"/>
      <c r="C15" s="49"/>
    </row>
    <row r="16" spans="1:3" s="27" customFormat="1" ht="22.2" customHeight="1">
      <c r="A16" s="53" t="s">
        <v>43</v>
      </c>
      <c r="B16" s="54"/>
      <c r="C16" s="55"/>
    </row>
    <row r="17" spans="1:3" s="27" customFormat="1" ht="54.6" customHeight="1">
      <c r="A17" s="47" t="s">
        <v>44</v>
      </c>
      <c r="B17" s="48"/>
      <c r="C17" s="49"/>
    </row>
    <row r="18" spans="1:3" s="27" customFormat="1" ht="22.2" customHeight="1">
      <c r="A18" s="53" t="s">
        <v>45</v>
      </c>
      <c r="B18" s="54"/>
      <c r="C18" s="55"/>
    </row>
    <row r="19" spans="1:3" s="27" customFormat="1" ht="55.8" customHeight="1">
      <c r="A19" s="47" t="s">
        <v>46</v>
      </c>
      <c r="B19" s="48"/>
      <c r="C19" s="49"/>
    </row>
    <row r="20" spans="1:3" s="27" customFormat="1" ht="22.2" customHeight="1">
      <c r="A20" s="53" t="s">
        <v>47</v>
      </c>
      <c r="B20" s="54"/>
      <c r="C20" s="55"/>
    </row>
    <row r="21" spans="1:3" s="27" customFormat="1" ht="22.2" customHeight="1">
      <c r="A21" s="47" t="s">
        <v>48</v>
      </c>
      <c r="B21" s="48"/>
      <c r="C21" s="49"/>
    </row>
    <row r="22" spans="1:3" s="27" customFormat="1" ht="42" customHeight="1">
      <c r="A22" s="47" t="s">
        <v>49</v>
      </c>
      <c r="B22" s="48"/>
      <c r="C22" s="49"/>
    </row>
    <row r="23" spans="1:3" s="27" customFormat="1" ht="22.2" customHeight="1">
      <c r="A23" s="47" t="s">
        <v>50</v>
      </c>
      <c r="B23" s="48"/>
      <c r="C23" s="49"/>
    </row>
    <row r="24" spans="1:3" ht="45" customHeight="1">
      <c r="A24" s="47" t="s">
        <v>51</v>
      </c>
      <c r="B24" s="48"/>
      <c r="C24" s="49"/>
    </row>
  </sheetData>
  <mergeCells count="12">
    <mergeCell ref="A24:C24"/>
    <mergeCell ref="B5:C5"/>
    <mergeCell ref="A19:C19"/>
    <mergeCell ref="A20:C20"/>
    <mergeCell ref="A21:C21"/>
    <mergeCell ref="A22:C22"/>
    <mergeCell ref="A23:C23"/>
    <mergeCell ref="A14:C14"/>
    <mergeCell ref="A15:C15"/>
    <mergeCell ref="A16:C16"/>
    <mergeCell ref="A17:C17"/>
    <mergeCell ref="A18:C18"/>
  </mergeCells>
  <hyperlinks>
    <hyperlink ref="C7" location="'Outer perimeter checklist'!A1" display="Outer perimeter checklist" xr:uid="{00000000-0004-0000-0000-000000000000}"/>
    <hyperlink ref="C8" location="'Inner perimeter checklist'!A1" display="Inner perimeter checklist" xr:uid="{00000000-0004-0000-0000-000001000000}"/>
    <hyperlink ref="C9" location="'Inside stadium checklist'!A1" display="Inside stadium checklist" xr:uid="{00000000-0004-0000-0000-000002000000}"/>
    <hyperlink ref="C10" location="'Prematch checklist'!A1" display="Prematch checklist" xr:uid="{00000000-0004-0000-0000-000003000000}"/>
    <hyperlink ref="C11" location="'Staircase checklist'!A1" display="Staircase checklist" xr:uid="{00000000-0004-0000-0000-000004000000}"/>
    <hyperlink ref="C12" location="'PSA Safety checklist'!A1" display="PSA Safety checklist" xr:uid="{00000000-0004-0000-0000-000005000000}"/>
  </hyperlinks>
  <pageMargins left="0.7" right="0.7" top="0.75" bottom="0.75" header="0.3" footer="0.3"/>
  <pageSetup orientation="portrait" r:id="rId1"/>
  <headerFooter>
    <oddHeader>&amp;LDOC ID - 251001-FR34SCL-HSE-V01&amp;RRev 00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181BD"/>
    <pageSetUpPr fitToPage="1"/>
  </sheetPr>
  <dimension ref="A1:F22"/>
  <sheetViews>
    <sheetView topLeftCell="A14" zoomScale="94" zoomScaleNormal="94" workbookViewId="0">
      <selection activeCell="C19" sqref="C19:C21"/>
    </sheetView>
  </sheetViews>
  <sheetFormatPr defaultColWidth="10" defaultRowHeight="14.4"/>
  <cols>
    <col min="1" max="1" width="11.109375" customWidth="1"/>
    <col min="2" max="2" width="54.6640625" customWidth="1"/>
    <col min="3" max="4" width="11.33203125" style="14" customWidth="1"/>
    <col min="5" max="5" width="38.33203125" customWidth="1"/>
    <col min="6" max="6" width="38.6640625" customWidth="1"/>
  </cols>
  <sheetData>
    <row r="1" spans="1:6" ht="57" customHeight="1">
      <c r="A1" s="3"/>
      <c r="B1" s="44" t="s">
        <v>9</v>
      </c>
      <c r="C1" s="44"/>
      <c r="D1" s="44"/>
      <c r="E1" s="44"/>
      <c r="F1" s="45"/>
    </row>
    <row r="2" spans="1:6" ht="24.9" customHeight="1">
      <c r="A2" s="51" t="s">
        <v>10</v>
      </c>
      <c r="B2" s="51"/>
      <c r="C2" s="46"/>
      <c r="D2" s="42"/>
      <c r="E2" s="42"/>
      <c r="F2" s="43"/>
    </row>
    <row r="3" spans="1:6" ht="24.9" customHeight="1">
      <c r="A3" s="51" t="s">
        <v>11</v>
      </c>
      <c r="B3" s="51"/>
      <c r="C3" s="39"/>
      <c r="D3" s="52"/>
      <c r="E3" s="52"/>
      <c r="F3" s="40"/>
    </row>
    <row r="4" spans="1:6" ht="24.9" customHeight="1">
      <c r="A4" s="51" t="s">
        <v>12</v>
      </c>
      <c r="B4" s="51"/>
      <c r="C4" s="39"/>
      <c r="D4" s="52"/>
      <c r="E4" s="52"/>
      <c r="F4" s="40"/>
    </row>
    <row r="5" spans="1:6" ht="27.75" customHeight="1">
      <c r="A5" s="15" t="s">
        <v>1</v>
      </c>
      <c r="B5" s="15" t="s">
        <v>13</v>
      </c>
      <c r="C5" s="15" t="s">
        <v>14</v>
      </c>
      <c r="D5" s="15" t="s">
        <v>15</v>
      </c>
      <c r="E5" s="15" t="s">
        <v>16</v>
      </c>
      <c r="F5" s="16" t="s">
        <v>17</v>
      </c>
    </row>
    <row r="6" spans="1:6" ht="45" customHeight="1">
      <c r="A6" s="7">
        <v>1</v>
      </c>
      <c r="B6" s="9" t="s">
        <v>18</v>
      </c>
      <c r="C6" s="7"/>
      <c r="D6" s="7">
        <f>IF(C6="YES",1,IF(C6="NO",0,IF(C6="NA",0,0)))</f>
        <v>0</v>
      </c>
      <c r="E6" s="9"/>
      <c r="F6" s="9"/>
    </row>
    <row r="7" spans="1:6" ht="45" customHeight="1">
      <c r="A7" s="7">
        <v>2</v>
      </c>
      <c r="B7" s="9" t="s">
        <v>19</v>
      </c>
      <c r="C7" s="7"/>
      <c r="D7" s="7">
        <f t="shared" ref="D7:D17" si="0">IF(C7="YES",1,IF(C7="NO",0,IF(C7="NA",0,0)))</f>
        <v>0</v>
      </c>
      <c r="E7" s="9"/>
      <c r="F7" s="9"/>
    </row>
    <row r="8" spans="1:6" ht="45" customHeight="1">
      <c r="A8" s="7">
        <v>3</v>
      </c>
      <c r="B8" s="9" t="s">
        <v>20</v>
      </c>
      <c r="C8" s="7"/>
      <c r="D8" s="7">
        <f t="shared" si="0"/>
        <v>0</v>
      </c>
      <c r="E8" s="9"/>
      <c r="F8" s="9"/>
    </row>
    <row r="9" spans="1:6" ht="45" customHeight="1">
      <c r="A9" s="7">
        <v>4</v>
      </c>
      <c r="B9" s="9" t="s">
        <v>21</v>
      </c>
      <c r="C9" s="7"/>
      <c r="D9" s="7">
        <f t="shared" si="0"/>
        <v>0</v>
      </c>
      <c r="E9" s="9"/>
      <c r="F9" s="9"/>
    </row>
    <row r="10" spans="1:6" ht="45" customHeight="1">
      <c r="A10" s="7">
        <v>5</v>
      </c>
      <c r="B10" s="9" t="s">
        <v>22</v>
      </c>
      <c r="C10" s="7"/>
      <c r="D10" s="7">
        <f t="shared" si="0"/>
        <v>0</v>
      </c>
      <c r="E10" s="9"/>
      <c r="F10" s="9"/>
    </row>
    <row r="11" spans="1:6" ht="45" customHeight="1">
      <c r="A11" s="7">
        <v>6</v>
      </c>
      <c r="B11" s="9" t="s">
        <v>23</v>
      </c>
      <c r="C11" s="7"/>
      <c r="D11" s="7">
        <f t="shared" si="0"/>
        <v>0</v>
      </c>
      <c r="E11" s="9"/>
      <c r="F11" s="9"/>
    </row>
    <row r="12" spans="1:6" ht="45" customHeight="1">
      <c r="A12" s="7">
        <v>7</v>
      </c>
      <c r="B12" s="9" t="s">
        <v>24</v>
      </c>
      <c r="C12" s="7"/>
      <c r="D12" s="7">
        <f t="shared" si="0"/>
        <v>0</v>
      </c>
      <c r="E12" s="9"/>
      <c r="F12" s="9"/>
    </row>
    <row r="13" spans="1:6" ht="45" customHeight="1">
      <c r="A13" s="7">
        <v>8</v>
      </c>
      <c r="B13" s="9" t="s">
        <v>25</v>
      </c>
      <c r="C13" s="7"/>
      <c r="D13" s="7">
        <f t="shared" si="0"/>
        <v>0</v>
      </c>
      <c r="E13" s="9"/>
      <c r="F13" s="9"/>
    </row>
    <row r="14" spans="1:6" ht="45" customHeight="1">
      <c r="A14" s="7">
        <v>9</v>
      </c>
      <c r="B14" s="9" t="s">
        <v>26</v>
      </c>
      <c r="C14" s="7"/>
      <c r="D14" s="7">
        <f t="shared" si="0"/>
        <v>0</v>
      </c>
      <c r="E14" s="9"/>
      <c r="F14" s="9"/>
    </row>
    <row r="15" spans="1:6" ht="45" customHeight="1">
      <c r="A15" s="7">
        <v>10</v>
      </c>
      <c r="B15" s="9" t="s">
        <v>27</v>
      </c>
      <c r="C15" s="7"/>
      <c r="D15" s="7">
        <f t="shared" si="0"/>
        <v>0</v>
      </c>
      <c r="E15" s="9"/>
      <c r="F15" s="9"/>
    </row>
    <row r="16" spans="1:6" ht="45" customHeight="1">
      <c r="A16" s="7">
        <v>11</v>
      </c>
      <c r="B16" s="9" t="s">
        <v>28</v>
      </c>
      <c r="C16" s="7"/>
      <c r="D16" s="7">
        <f t="shared" si="0"/>
        <v>0</v>
      </c>
      <c r="E16" s="9"/>
      <c r="F16" s="9"/>
    </row>
    <row r="17" spans="1:6" ht="45" customHeight="1">
      <c r="A17" s="7">
        <v>12</v>
      </c>
      <c r="B17" s="9" t="s">
        <v>29</v>
      </c>
      <c r="C17" s="7"/>
      <c r="D17" s="7">
        <f t="shared" si="0"/>
        <v>0</v>
      </c>
      <c r="E17" s="9"/>
      <c r="F17" s="9"/>
    </row>
    <row r="18" spans="1:6" ht="45" customHeight="1">
      <c r="A18" s="7">
        <v>13</v>
      </c>
      <c r="B18" s="9" t="s">
        <v>29</v>
      </c>
      <c r="C18" s="7"/>
      <c r="D18" s="7">
        <f t="shared" ref="D18:D21" si="1">IF(C18="YES",1,IF(C18="NO",0,IF(C18="NA",0,0)))</f>
        <v>0</v>
      </c>
      <c r="E18" s="9"/>
      <c r="F18" s="9"/>
    </row>
    <row r="19" spans="1:6" ht="45" customHeight="1">
      <c r="A19" s="7">
        <v>14</v>
      </c>
      <c r="B19" s="9" t="s">
        <v>29</v>
      </c>
      <c r="C19" s="7"/>
      <c r="D19" s="7">
        <f t="shared" si="1"/>
        <v>0</v>
      </c>
      <c r="E19" s="9"/>
      <c r="F19" s="9"/>
    </row>
    <row r="20" spans="1:6" ht="45" customHeight="1">
      <c r="A20" s="7">
        <v>15</v>
      </c>
      <c r="B20" s="9" t="s">
        <v>29</v>
      </c>
      <c r="C20" s="7"/>
      <c r="D20" s="7">
        <f t="shared" si="1"/>
        <v>0</v>
      </c>
      <c r="E20" s="9"/>
      <c r="F20" s="9"/>
    </row>
    <row r="21" spans="1:6" ht="45" customHeight="1">
      <c r="A21" s="7">
        <v>16</v>
      </c>
      <c r="B21" s="9" t="s">
        <v>29</v>
      </c>
      <c r="C21" s="7"/>
      <c r="D21" s="7">
        <f t="shared" si="1"/>
        <v>0</v>
      </c>
      <c r="E21" s="9"/>
      <c r="F21" s="9"/>
    </row>
    <row r="22" spans="1:6">
      <c r="A22" s="10"/>
      <c r="B22" s="10"/>
      <c r="C22" s="11">
        <f>COUNTA(A6:A21)</f>
        <v>16</v>
      </c>
      <c r="D22" s="11">
        <f>SUM(D6:D21)</f>
        <v>0</v>
      </c>
      <c r="E22" s="13" t="str">
        <f>IFERROR(SUM(D6:D21)/(COUNTIF(C6:C21,"YES")+COUNTIF(C6:C21,"NO")),"")</f>
        <v/>
      </c>
      <c r="F22" s="22" t="s">
        <v>83</v>
      </c>
    </row>
  </sheetData>
  <mergeCells count="7">
    <mergeCell ref="A4:B4"/>
    <mergeCell ref="C4:F4"/>
    <mergeCell ref="B1:F1"/>
    <mergeCell ref="A2:B2"/>
    <mergeCell ref="C2:F2"/>
    <mergeCell ref="A3:B3"/>
    <mergeCell ref="C3:F3"/>
  </mergeCells>
  <dataValidations count="1">
    <dataValidation type="list" allowBlank="1" showInputMessage="1" showErrorMessage="1" sqref="C9" xr:uid="{00000000-0002-0000-0100-000000000000}">
      <formula1>"YES,NO,NA,No"</formula1>
    </dataValidation>
  </dataValidations>
  <pageMargins left="0.7" right="0.7" top="0.75" bottom="0.75" header="0.3" footer="0.3"/>
  <pageSetup paperSize="9" scale="68" orientation="landscape" r:id="rId1"/>
  <headerFooter>
    <oddHeader>&amp;LDOC ID - 251001-FR34SCL-HSE-V01&amp;RRev 00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Sheet1!$G$10:$G$12</xm:f>
          </x14:formula1>
          <xm:sqref>C6:C8 C10:C21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181BD"/>
    <pageSetUpPr fitToPage="1"/>
  </sheetPr>
  <dimension ref="A1:F21"/>
  <sheetViews>
    <sheetView topLeftCell="A9" zoomScale="85" zoomScaleNormal="85" workbookViewId="0">
      <selection activeCell="D21" sqref="D21"/>
    </sheetView>
  </sheetViews>
  <sheetFormatPr defaultColWidth="10" defaultRowHeight="14.4"/>
  <cols>
    <col min="1" max="1" width="10.88671875" customWidth="1"/>
    <col min="2" max="2" width="86.5546875" customWidth="1"/>
    <col min="3" max="4" width="11.33203125" style="14" customWidth="1"/>
    <col min="5" max="5" width="32.44140625" customWidth="1"/>
    <col min="6" max="6" width="36.88671875" customWidth="1"/>
  </cols>
  <sheetData>
    <row r="1" spans="1:6" ht="55.95" customHeight="1">
      <c r="A1" s="3"/>
      <c r="B1" s="44" t="s">
        <v>30</v>
      </c>
      <c r="C1" s="44"/>
      <c r="D1" s="44"/>
      <c r="E1" s="44"/>
      <c r="F1" s="45"/>
    </row>
    <row r="2" spans="1:6" ht="24.9" customHeight="1">
      <c r="A2" s="39" t="s">
        <v>10</v>
      </c>
      <c r="B2" s="40"/>
      <c r="C2" s="46"/>
      <c r="D2" s="42"/>
      <c r="E2" s="42"/>
      <c r="F2" s="43"/>
    </row>
    <row r="3" spans="1:6" ht="24.9" customHeight="1">
      <c r="A3" s="39" t="s">
        <v>11</v>
      </c>
      <c r="B3" s="40"/>
      <c r="C3" s="41"/>
      <c r="D3" s="42"/>
      <c r="E3" s="42"/>
      <c r="F3" s="43"/>
    </row>
    <row r="4" spans="1:6" ht="24.9" customHeight="1">
      <c r="A4" s="39" t="s">
        <v>31</v>
      </c>
      <c r="B4" s="40"/>
      <c r="C4" s="41"/>
      <c r="D4" s="42"/>
      <c r="E4" s="42"/>
      <c r="F4" s="43"/>
    </row>
    <row r="5" spans="1:6" ht="33.75" customHeight="1">
      <c r="A5" s="5" t="s">
        <v>1</v>
      </c>
      <c r="B5" s="5" t="s">
        <v>13</v>
      </c>
      <c r="C5" s="5" t="s">
        <v>14</v>
      </c>
      <c r="D5" s="5" t="s">
        <v>15</v>
      </c>
      <c r="E5" s="5" t="s">
        <v>16</v>
      </c>
      <c r="F5" s="21" t="s">
        <v>17</v>
      </c>
    </row>
    <row r="6" spans="1:6" ht="45" customHeight="1">
      <c r="A6" s="7">
        <v>1</v>
      </c>
      <c r="B6" s="9" t="s">
        <v>52</v>
      </c>
      <c r="C6" s="7"/>
      <c r="D6" s="7">
        <f>IF(C6="YES",1,IF(C6="NO",0,IF(C6="NA",0,0)))</f>
        <v>0</v>
      </c>
      <c r="E6" s="8"/>
      <c r="F6" s="8"/>
    </row>
    <row r="7" spans="1:6" ht="45" customHeight="1">
      <c r="A7" s="7">
        <v>2</v>
      </c>
      <c r="B7" s="9" t="s">
        <v>53</v>
      </c>
      <c r="C7" s="7"/>
      <c r="D7" s="7">
        <f t="shared" ref="D7:D20" si="0">IF(C7="YES",1,IF(C7="NO",0,IF(C7="NA",0,0)))</f>
        <v>0</v>
      </c>
      <c r="E7" s="8"/>
      <c r="F7" s="8"/>
    </row>
    <row r="8" spans="1:6" ht="45" customHeight="1">
      <c r="A8" s="7">
        <v>3</v>
      </c>
      <c r="B8" s="9" t="s">
        <v>54</v>
      </c>
      <c r="C8" s="7"/>
      <c r="D8" s="7">
        <f t="shared" si="0"/>
        <v>0</v>
      </c>
      <c r="E8" s="8"/>
      <c r="F8" s="7"/>
    </row>
    <row r="9" spans="1:6" ht="45" customHeight="1">
      <c r="A9" s="7">
        <v>4</v>
      </c>
      <c r="B9" s="9" t="s">
        <v>55</v>
      </c>
      <c r="C9" s="7"/>
      <c r="D9" s="7">
        <f t="shared" si="0"/>
        <v>0</v>
      </c>
      <c r="E9" s="8"/>
      <c r="F9" s="8"/>
    </row>
    <row r="10" spans="1:6" ht="45" customHeight="1">
      <c r="A10" s="7">
        <v>5</v>
      </c>
      <c r="B10" s="9" t="s">
        <v>56</v>
      </c>
      <c r="C10" s="7"/>
      <c r="D10" s="7">
        <f t="shared" si="0"/>
        <v>0</v>
      </c>
      <c r="E10" s="26"/>
      <c r="F10" s="26"/>
    </row>
    <row r="11" spans="1:6" ht="45" customHeight="1">
      <c r="A11" s="7">
        <v>6</v>
      </c>
      <c r="B11" s="9" t="s">
        <v>57</v>
      </c>
      <c r="C11" s="7"/>
      <c r="D11" s="7">
        <f t="shared" si="0"/>
        <v>0</v>
      </c>
      <c r="E11" s="24"/>
      <c r="F11" s="24"/>
    </row>
    <row r="12" spans="1:6" ht="45" customHeight="1">
      <c r="A12" s="7">
        <v>7</v>
      </c>
      <c r="B12" s="9" t="s">
        <v>58</v>
      </c>
      <c r="C12" s="7"/>
      <c r="D12" s="7">
        <f t="shared" si="0"/>
        <v>0</v>
      </c>
      <c r="E12" s="25"/>
      <c r="F12" s="25"/>
    </row>
    <row r="13" spans="1:6" ht="45" customHeight="1">
      <c r="A13" s="7">
        <v>8</v>
      </c>
      <c r="B13" s="9" t="s">
        <v>59</v>
      </c>
      <c r="C13" s="7"/>
      <c r="D13" s="7">
        <f t="shared" si="0"/>
        <v>0</v>
      </c>
      <c r="E13" s="25"/>
      <c r="F13" s="25"/>
    </row>
    <row r="14" spans="1:6" ht="45" customHeight="1">
      <c r="A14" s="7">
        <v>9</v>
      </c>
      <c r="B14" s="9" t="s">
        <v>60</v>
      </c>
      <c r="C14" s="7"/>
      <c r="D14" s="7">
        <f t="shared" si="0"/>
        <v>0</v>
      </c>
      <c r="E14" s="25"/>
      <c r="F14" s="24"/>
    </row>
    <row r="15" spans="1:6" ht="45" customHeight="1">
      <c r="A15" s="7">
        <v>10</v>
      </c>
      <c r="B15" s="9" t="s">
        <v>61</v>
      </c>
      <c r="C15" s="7"/>
      <c r="D15" s="7">
        <f t="shared" si="0"/>
        <v>0</v>
      </c>
      <c r="E15" s="25"/>
      <c r="F15" s="25"/>
    </row>
    <row r="16" spans="1:6" ht="43.8" customHeight="1">
      <c r="A16" s="7">
        <v>11</v>
      </c>
      <c r="B16" s="9" t="s">
        <v>62</v>
      </c>
      <c r="C16" s="7"/>
      <c r="D16" s="7">
        <f t="shared" si="0"/>
        <v>0</v>
      </c>
      <c r="E16" s="25"/>
      <c r="F16" s="25"/>
    </row>
    <row r="17" spans="1:6" ht="43.8" customHeight="1">
      <c r="A17" s="7">
        <v>12</v>
      </c>
      <c r="B17" s="9" t="s">
        <v>63</v>
      </c>
      <c r="C17" s="7"/>
      <c r="D17" s="7">
        <f t="shared" si="0"/>
        <v>0</v>
      </c>
      <c r="E17" s="25"/>
      <c r="F17" s="25"/>
    </row>
    <row r="18" spans="1:6" ht="43.8" customHeight="1">
      <c r="A18" s="7">
        <v>13</v>
      </c>
      <c r="B18" s="9" t="s">
        <v>64</v>
      </c>
      <c r="C18" s="7"/>
      <c r="D18" s="7">
        <f t="shared" si="0"/>
        <v>0</v>
      </c>
      <c r="E18" s="25"/>
      <c r="F18" s="25"/>
    </row>
    <row r="19" spans="1:6" ht="43.8" customHeight="1">
      <c r="A19" s="7">
        <v>14</v>
      </c>
      <c r="B19" s="9" t="s">
        <v>65</v>
      </c>
      <c r="C19" s="7"/>
      <c r="D19" s="7">
        <f t="shared" si="0"/>
        <v>0</v>
      </c>
      <c r="E19" s="25"/>
      <c r="F19" s="25"/>
    </row>
    <row r="20" spans="1:6" ht="43.8" customHeight="1">
      <c r="A20" s="7">
        <v>15</v>
      </c>
      <c r="B20" s="9" t="s">
        <v>66</v>
      </c>
      <c r="C20" s="7"/>
      <c r="D20" s="7">
        <f t="shared" si="0"/>
        <v>0</v>
      </c>
      <c r="E20" s="25"/>
      <c r="F20" s="25"/>
    </row>
    <row r="21" spans="1:6" ht="23.4" customHeight="1">
      <c r="A21" s="28"/>
      <c r="B21" s="31" t="s">
        <v>33</v>
      </c>
      <c r="C21" s="12">
        <f>COUNTA(A6:A20)</f>
        <v>15</v>
      </c>
      <c r="D21" s="12">
        <f>SUM(D6:D20)</f>
        <v>0</v>
      </c>
      <c r="E21" s="29" t="str">
        <f>IFERROR(SUM(D6:D20)/(COUNTIF(C6:C20,"YES")+COUNTIF(C6:C20,"NO")),"")</f>
        <v/>
      </c>
      <c r="F21" s="31" t="s">
        <v>67</v>
      </c>
    </row>
  </sheetData>
  <mergeCells count="7">
    <mergeCell ref="A4:B4"/>
    <mergeCell ref="C4:F4"/>
    <mergeCell ref="B1:F1"/>
    <mergeCell ref="A2:B2"/>
    <mergeCell ref="C2:F2"/>
    <mergeCell ref="A3:B3"/>
    <mergeCell ref="C3:F3"/>
  </mergeCells>
  <pageMargins left="0.7" right="0.7" top="0.75" bottom="0.75" header="0.3" footer="0.3"/>
  <pageSetup paperSize="9" scale="73" orientation="landscape" r:id="rId1"/>
  <headerFooter>
    <oddHeader>&amp;LDOC ID - 251001-FR34SCL-HSE-V01&amp;RRev 00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Sheet1!$G$10:$G$12</xm:f>
          </x14:formula1>
          <xm:sqref>C6:C20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ABA58"/>
    <pageSetUpPr fitToPage="1"/>
  </sheetPr>
  <dimension ref="A1:F22"/>
  <sheetViews>
    <sheetView topLeftCell="A11" zoomScaleNormal="100" workbookViewId="0">
      <selection activeCell="B19" sqref="B19"/>
    </sheetView>
  </sheetViews>
  <sheetFormatPr defaultColWidth="9.109375" defaultRowHeight="14.4"/>
  <cols>
    <col min="1" max="1" width="11.88671875" style="1" customWidth="1"/>
    <col min="2" max="2" width="66.6640625" style="1" customWidth="1"/>
    <col min="3" max="4" width="11.33203125" style="1" customWidth="1"/>
    <col min="5" max="5" width="36.44140625" style="1" customWidth="1"/>
    <col min="6" max="6" width="43.44140625" style="1" customWidth="1"/>
    <col min="7" max="16384" width="9.109375" style="1"/>
  </cols>
  <sheetData>
    <row r="1" spans="1:6" ht="58.95" customHeight="1">
      <c r="A1" s="3"/>
      <c r="B1" s="44" t="s">
        <v>32</v>
      </c>
      <c r="C1" s="44"/>
      <c r="D1" s="44"/>
      <c r="E1" s="44"/>
      <c r="F1" s="45"/>
    </row>
    <row r="2" spans="1:6" ht="24.9" customHeight="1">
      <c r="A2" s="39" t="s">
        <v>10</v>
      </c>
      <c r="B2" s="40"/>
      <c r="C2" s="46"/>
      <c r="D2" s="42"/>
      <c r="E2" s="42"/>
      <c r="F2" s="43"/>
    </row>
    <row r="3" spans="1:6" ht="24.9" customHeight="1">
      <c r="A3" s="39" t="s">
        <v>11</v>
      </c>
      <c r="B3" s="40"/>
      <c r="C3" s="41"/>
      <c r="D3" s="42"/>
      <c r="E3" s="42"/>
      <c r="F3" s="43"/>
    </row>
    <row r="4" spans="1:6" ht="24.9" customHeight="1">
      <c r="A4" s="39" t="s">
        <v>12</v>
      </c>
      <c r="B4" s="40"/>
      <c r="C4" s="41"/>
      <c r="D4" s="42"/>
      <c r="E4" s="42"/>
      <c r="F4" s="43"/>
    </row>
    <row r="5" spans="1:6" ht="33.75" customHeight="1">
      <c r="A5" s="15" t="s">
        <v>1</v>
      </c>
      <c r="B5" s="15" t="s">
        <v>13</v>
      </c>
      <c r="C5" s="15" t="s">
        <v>14</v>
      </c>
      <c r="D5" s="15" t="s">
        <v>15</v>
      </c>
      <c r="E5" s="15" t="s">
        <v>16</v>
      </c>
      <c r="F5" s="16" t="s">
        <v>17</v>
      </c>
    </row>
    <row r="6" spans="1:6" ht="45" customHeight="1">
      <c r="A6" s="7">
        <v>1</v>
      </c>
      <c r="B6" s="9" t="s">
        <v>68</v>
      </c>
      <c r="C6" s="7"/>
      <c r="D6" s="7">
        <f>IF(C6="YES",1,IF(C6="NO",0,IF(C6="NA",0,0)))</f>
        <v>0</v>
      </c>
      <c r="E6" s="8"/>
      <c r="F6" s="8"/>
    </row>
    <row r="7" spans="1:6" ht="45" customHeight="1">
      <c r="A7" s="7">
        <v>2</v>
      </c>
      <c r="B7" s="9" t="s">
        <v>69</v>
      </c>
      <c r="C7" s="7"/>
      <c r="D7" s="7">
        <f t="shared" ref="D7:D21" si="0">IF(C7="YES",1,IF(C7="NO",0,IF(C7="NA",0,0)))</f>
        <v>0</v>
      </c>
      <c r="E7" s="8"/>
      <c r="F7" s="8"/>
    </row>
    <row r="8" spans="1:6" ht="45" customHeight="1">
      <c r="A8" s="7">
        <v>3</v>
      </c>
      <c r="B8" s="9" t="s">
        <v>70</v>
      </c>
      <c r="C8" s="7"/>
      <c r="D8" s="7">
        <f t="shared" si="0"/>
        <v>0</v>
      </c>
      <c r="E8" s="8"/>
      <c r="F8" s="8"/>
    </row>
    <row r="9" spans="1:6" ht="45" customHeight="1">
      <c r="A9" s="7">
        <v>4</v>
      </c>
      <c r="B9" s="9" t="s">
        <v>71</v>
      </c>
      <c r="C9" s="7"/>
      <c r="D9" s="7">
        <f t="shared" si="0"/>
        <v>0</v>
      </c>
      <c r="E9" s="8"/>
      <c r="F9" s="8"/>
    </row>
    <row r="10" spans="1:6" ht="45" customHeight="1">
      <c r="A10" s="7">
        <v>5</v>
      </c>
      <c r="B10" s="9" t="s">
        <v>72</v>
      </c>
      <c r="C10" s="7"/>
      <c r="D10" s="7">
        <f t="shared" si="0"/>
        <v>0</v>
      </c>
      <c r="E10" s="8"/>
      <c r="F10" s="8"/>
    </row>
    <row r="11" spans="1:6" ht="45" customHeight="1">
      <c r="A11" s="7">
        <v>6</v>
      </c>
      <c r="B11" s="9" t="s">
        <v>73</v>
      </c>
      <c r="C11" s="7"/>
      <c r="D11" s="7">
        <f t="shared" si="0"/>
        <v>0</v>
      </c>
      <c r="E11" s="8"/>
      <c r="F11" s="8"/>
    </row>
    <row r="12" spans="1:6" ht="45" customHeight="1">
      <c r="A12" s="7">
        <v>7</v>
      </c>
      <c r="B12" s="9" t="s">
        <v>74</v>
      </c>
      <c r="C12" s="7"/>
      <c r="D12" s="7">
        <f t="shared" si="0"/>
        <v>0</v>
      </c>
      <c r="E12" s="8"/>
      <c r="F12" s="8"/>
    </row>
    <row r="13" spans="1:6" ht="45" customHeight="1">
      <c r="A13" s="7">
        <v>8</v>
      </c>
      <c r="B13" s="9" t="s">
        <v>75</v>
      </c>
      <c r="C13" s="7"/>
      <c r="D13" s="7">
        <f t="shared" si="0"/>
        <v>0</v>
      </c>
      <c r="E13" s="8"/>
      <c r="F13" s="8"/>
    </row>
    <row r="14" spans="1:6" ht="45" customHeight="1">
      <c r="A14" s="7">
        <v>9</v>
      </c>
      <c r="B14" s="9" t="s">
        <v>76</v>
      </c>
      <c r="C14" s="7"/>
      <c r="D14" s="7">
        <f t="shared" si="0"/>
        <v>0</v>
      </c>
      <c r="E14" s="8"/>
      <c r="F14" s="8"/>
    </row>
    <row r="15" spans="1:6" ht="45" customHeight="1">
      <c r="A15" s="7">
        <v>10</v>
      </c>
      <c r="B15" s="9" t="s">
        <v>77</v>
      </c>
      <c r="C15" s="7"/>
      <c r="D15" s="7">
        <f t="shared" si="0"/>
        <v>0</v>
      </c>
      <c r="E15" s="8"/>
      <c r="F15" s="8"/>
    </row>
    <row r="16" spans="1:6" ht="45" customHeight="1">
      <c r="A16" s="7">
        <v>11</v>
      </c>
      <c r="B16" s="9" t="s">
        <v>78</v>
      </c>
      <c r="C16" s="7"/>
      <c r="D16" s="7">
        <f t="shared" si="0"/>
        <v>0</v>
      </c>
      <c r="E16" s="8"/>
      <c r="F16" s="8"/>
    </row>
    <row r="17" spans="1:6" ht="45" customHeight="1">
      <c r="A17" s="7">
        <v>12</v>
      </c>
      <c r="B17" s="9" t="s">
        <v>66</v>
      </c>
      <c r="C17" s="7"/>
      <c r="D17" s="7">
        <f t="shared" si="0"/>
        <v>0</v>
      </c>
      <c r="E17" s="8"/>
      <c r="F17" s="8"/>
    </row>
    <row r="18" spans="1:6" ht="45" customHeight="1">
      <c r="A18" s="7">
        <v>13</v>
      </c>
      <c r="B18" s="9" t="s">
        <v>79</v>
      </c>
      <c r="C18" s="7"/>
      <c r="D18" s="7">
        <f t="shared" si="0"/>
        <v>0</v>
      </c>
      <c r="E18" s="8"/>
      <c r="F18" s="8"/>
    </row>
    <row r="19" spans="1:6" ht="45" customHeight="1">
      <c r="A19" s="7">
        <v>14</v>
      </c>
      <c r="B19" s="9" t="s">
        <v>80</v>
      </c>
      <c r="C19" s="7"/>
      <c r="D19" s="7">
        <f t="shared" si="0"/>
        <v>0</v>
      </c>
      <c r="E19" s="8"/>
      <c r="F19" s="8"/>
    </row>
    <row r="20" spans="1:6" ht="45" customHeight="1">
      <c r="A20" s="7">
        <v>15</v>
      </c>
      <c r="B20" s="9" t="s">
        <v>81</v>
      </c>
      <c r="C20" s="7"/>
      <c r="D20" s="7">
        <f t="shared" si="0"/>
        <v>0</v>
      </c>
      <c r="E20" s="8"/>
      <c r="F20" s="8"/>
    </row>
    <row r="21" spans="1:6" ht="45" customHeight="1">
      <c r="A21" s="7">
        <v>16</v>
      </c>
      <c r="B21" s="9" t="s">
        <v>82</v>
      </c>
      <c r="C21" s="7"/>
      <c r="D21" s="7">
        <f t="shared" si="0"/>
        <v>0</v>
      </c>
      <c r="E21" s="8"/>
      <c r="F21" s="8"/>
    </row>
    <row r="22" spans="1:6">
      <c r="A22" s="19"/>
      <c r="B22" s="19" t="s">
        <v>33</v>
      </c>
      <c r="C22" s="32">
        <f>COUNTA(A6:A21)</f>
        <v>16</v>
      </c>
      <c r="D22" s="19">
        <f>SUM(D6:D20)</f>
        <v>0</v>
      </c>
      <c r="E22" s="20" t="str">
        <f>IFERROR(SUM(D6:D21)/(COUNTIF(C6:C21,"YES")+COUNTIF(C6:C21,"NO")),"")</f>
        <v/>
      </c>
      <c r="F22" s="19" t="s">
        <v>83</v>
      </c>
    </row>
  </sheetData>
  <mergeCells count="7">
    <mergeCell ref="A4:B4"/>
    <mergeCell ref="C4:F4"/>
    <mergeCell ref="B1:F1"/>
    <mergeCell ref="A2:B2"/>
    <mergeCell ref="C2:F2"/>
    <mergeCell ref="A3:B3"/>
    <mergeCell ref="C3:F3"/>
  </mergeCells>
  <pageMargins left="0.7" right="0.7" top="0.75" bottom="0.75" header="0.3" footer="0.3"/>
  <pageSetup paperSize="9" scale="57" orientation="landscape" r:id="rId1"/>
  <headerFooter>
    <oddHeader>&amp;LDOC ID - 251001-FR34SCL-HSE-V01&amp;RRev: 00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Sheet1!$G$10:$G$12</xm:f>
          </x14:formula1>
          <xm:sqref>C6:C21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ABA58"/>
    <pageSetUpPr fitToPage="1"/>
  </sheetPr>
  <dimension ref="A1:F24"/>
  <sheetViews>
    <sheetView topLeftCell="A11" zoomScale="89" zoomScaleNormal="89" workbookViewId="0">
      <selection activeCell="C21" sqref="C21:C23"/>
    </sheetView>
  </sheetViews>
  <sheetFormatPr defaultColWidth="10" defaultRowHeight="14.4"/>
  <cols>
    <col min="1" max="1" width="11.33203125" customWidth="1"/>
    <col min="2" max="2" width="63.77734375" customWidth="1"/>
    <col min="3" max="4" width="12.44140625" style="14" customWidth="1"/>
    <col min="5" max="5" width="37.88671875" customWidth="1"/>
    <col min="6" max="6" width="44.6640625" customWidth="1"/>
  </cols>
  <sheetData>
    <row r="1" spans="1:6" ht="55.95" customHeight="1">
      <c r="A1" s="3"/>
      <c r="B1" s="44"/>
      <c r="C1" s="44"/>
      <c r="D1" s="44"/>
      <c r="E1" s="44"/>
      <c r="F1" s="45"/>
    </row>
    <row r="2" spans="1:6" ht="24.9" customHeight="1">
      <c r="A2" s="39" t="s">
        <v>10</v>
      </c>
      <c r="B2" s="40"/>
      <c r="C2" s="46"/>
      <c r="D2" s="42"/>
      <c r="E2" s="42"/>
      <c r="F2" s="43"/>
    </row>
    <row r="3" spans="1:6" ht="24.9" customHeight="1">
      <c r="A3" s="39" t="s">
        <v>11</v>
      </c>
      <c r="B3" s="40"/>
      <c r="C3" s="41"/>
      <c r="D3" s="42"/>
      <c r="E3" s="42"/>
      <c r="F3" s="43"/>
    </row>
    <row r="4" spans="1:6" ht="24.9" customHeight="1">
      <c r="A4" s="39" t="s">
        <v>12</v>
      </c>
      <c r="B4" s="40"/>
      <c r="C4" s="41"/>
      <c r="D4" s="42"/>
      <c r="E4" s="42"/>
      <c r="F4" s="43"/>
    </row>
    <row r="5" spans="1:6" ht="33.75" customHeight="1">
      <c r="A5" s="15" t="s">
        <v>1</v>
      </c>
      <c r="B5" s="15" t="s">
        <v>13</v>
      </c>
      <c r="C5" s="15" t="s">
        <v>14</v>
      </c>
      <c r="D5" s="15" t="s">
        <v>15</v>
      </c>
      <c r="E5" s="15" t="s">
        <v>16</v>
      </c>
      <c r="F5" s="16" t="s">
        <v>17</v>
      </c>
    </row>
    <row r="6" spans="1:6" ht="45" customHeight="1">
      <c r="A6" s="7">
        <v>1</v>
      </c>
      <c r="B6" s="9" t="s">
        <v>84</v>
      </c>
      <c r="C6" s="7"/>
      <c r="D6" s="7">
        <f>IF(C6="YES",1,IF(C6="NO",0,IF(C6="NA",0,0)))</f>
        <v>0</v>
      </c>
      <c r="E6" s="8"/>
      <c r="F6" s="8"/>
    </row>
    <row r="7" spans="1:6" ht="45" customHeight="1">
      <c r="A7" s="7">
        <v>2</v>
      </c>
      <c r="B7" s="9" t="s">
        <v>85</v>
      </c>
      <c r="C7" s="7"/>
      <c r="D7" s="7">
        <f t="shared" ref="D7:D23" si="0">IF(C7="YES",1,IF(C7="NO",0,IF(C7="NA",0,0)))</f>
        <v>0</v>
      </c>
      <c r="E7" s="8"/>
      <c r="F7" s="8"/>
    </row>
    <row r="8" spans="1:6" ht="45" customHeight="1">
      <c r="A8" s="7">
        <v>3</v>
      </c>
      <c r="B8" s="9" t="s">
        <v>86</v>
      </c>
      <c r="C8" s="7"/>
      <c r="D8" s="7">
        <f t="shared" si="0"/>
        <v>0</v>
      </c>
      <c r="E8" s="8"/>
      <c r="F8" s="8"/>
    </row>
    <row r="9" spans="1:6" ht="45" customHeight="1">
      <c r="A9" s="7">
        <v>4</v>
      </c>
      <c r="B9" s="9" t="s">
        <v>66</v>
      </c>
      <c r="C9" s="7"/>
      <c r="D9" s="7">
        <f t="shared" si="0"/>
        <v>0</v>
      </c>
      <c r="E9" s="8"/>
      <c r="F9" s="8"/>
    </row>
    <row r="10" spans="1:6" ht="45" customHeight="1">
      <c r="A10" s="7">
        <v>5</v>
      </c>
      <c r="B10" s="9" t="s">
        <v>87</v>
      </c>
      <c r="C10" s="7"/>
      <c r="D10" s="7">
        <f t="shared" si="0"/>
        <v>0</v>
      </c>
      <c r="E10" s="8"/>
      <c r="F10" s="8"/>
    </row>
    <row r="11" spans="1:6" ht="45" customHeight="1">
      <c r="A11" s="7">
        <v>6</v>
      </c>
      <c r="B11" s="9" t="s">
        <v>88</v>
      </c>
      <c r="C11" s="7"/>
      <c r="D11" s="7">
        <f t="shared" si="0"/>
        <v>0</v>
      </c>
      <c r="E11" s="8"/>
      <c r="F11" s="8"/>
    </row>
    <row r="12" spans="1:6" ht="45" customHeight="1">
      <c r="A12" s="7">
        <v>7</v>
      </c>
      <c r="B12" s="9" t="s">
        <v>89</v>
      </c>
      <c r="C12" s="7"/>
      <c r="D12" s="7">
        <f t="shared" si="0"/>
        <v>0</v>
      </c>
      <c r="E12" s="8"/>
      <c r="F12" s="8"/>
    </row>
    <row r="13" spans="1:6" ht="45" customHeight="1">
      <c r="A13" s="7">
        <v>8</v>
      </c>
      <c r="B13" s="9" t="s">
        <v>90</v>
      </c>
      <c r="C13" s="7"/>
      <c r="D13" s="7">
        <f t="shared" si="0"/>
        <v>0</v>
      </c>
      <c r="E13" s="9"/>
      <c r="F13" s="9"/>
    </row>
    <row r="14" spans="1:6" ht="45" customHeight="1">
      <c r="A14" s="7">
        <v>9</v>
      </c>
      <c r="B14" s="9" t="s">
        <v>91</v>
      </c>
      <c r="C14" s="7"/>
      <c r="D14" s="7">
        <f t="shared" si="0"/>
        <v>0</v>
      </c>
      <c r="E14" s="8"/>
      <c r="F14" s="8"/>
    </row>
    <row r="15" spans="1:6" ht="45" customHeight="1">
      <c r="A15" s="7">
        <v>10</v>
      </c>
      <c r="B15" s="9" t="s">
        <v>92</v>
      </c>
      <c r="C15" s="7"/>
      <c r="D15" s="7">
        <f t="shared" si="0"/>
        <v>0</v>
      </c>
      <c r="E15" s="8"/>
      <c r="F15" s="8"/>
    </row>
    <row r="16" spans="1:6" ht="45" customHeight="1">
      <c r="A16" s="7">
        <v>11</v>
      </c>
      <c r="B16" s="9" t="s">
        <v>93</v>
      </c>
      <c r="C16" s="7"/>
      <c r="D16" s="7">
        <f t="shared" si="0"/>
        <v>0</v>
      </c>
      <c r="E16" s="8"/>
      <c r="F16" s="8"/>
    </row>
    <row r="17" spans="1:6" ht="45" customHeight="1">
      <c r="A17" s="7">
        <v>12</v>
      </c>
      <c r="B17" s="9" t="s">
        <v>94</v>
      </c>
      <c r="C17" s="7"/>
      <c r="D17" s="7">
        <f t="shared" si="0"/>
        <v>0</v>
      </c>
      <c r="E17" s="8"/>
      <c r="F17" s="8"/>
    </row>
    <row r="18" spans="1:6" ht="45" customHeight="1">
      <c r="A18" s="7">
        <v>13</v>
      </c>
      <c r="B18" s="9" t="s">
        <v>95</v>
      </c>
      <c r="C18" s="7"/>
      <c r="D18" s="7">
        <f t="shared" si="0"/>
        <v>0</v>
      </c>
      <c r="E18" s="8"/>
      <c r="F18" s="8"/>
    </row>
    <row r="19" spans="1:6" ht="45" customHeight="1">
      <c r="A19" s="7">
        <v>14</v>
      </c>
      <c r="B19" s="9" t="s">
        <v>96</v>
      </c>
      <c r="C19" s="7"/>
      <c r="D19" s="7">
        <f t="shared" si="0"/>
        <v>0</v>
      </c>
      <c r="E19" s="8"/>
      <c r="F19" s="8"/>
    </row>
    <row r="20" spans="1:6" ht="45" customHeight="1">
      <c r="A20" s="7">
        <v>15</v>
      </c>
      <c r="B20" s="9" t="s">
        <v>97</v>
      </c>
      <c r="C20" s="7"/>
      <c r="D20" s="7">
        <f t="shared" si="0"/>
        <v>0</v>
      </c>
      <c r="E20" s="8"/>
      <c r="F20" s="8"/>
    </row>
    <row r="21" spans="1:6" ht="45" customHeight="1">
      <c r="A21" s="7">
        <v>16</v>
      </c>
      <c r="B21" s="9" t="s">
        <v>98</v>
      </c>
      <c r="C21" s="7"/>
      <c r="D21" s="7">
        <f t="shared" si="0"/>
        <v>0</v>
      </c>
      <c r="E21" s="8"/>
      <c r="F21" s="8"/>
    </row>
    <row r="22" spans="1:6" ht="45" customHeight="1">
      <c r="A22" s="7">
        <v>17</v>
      </c>
      <c r="B22" s="9" t="s">
        <v>99</v>
      </c>
      <c r="C22" s="7"/>
      <c r="D22" s="7">
        <f t="shared" si="0"/>
        <v>0</v>
      </c>
      <c r="E22" s="8"/>
      <c r="F22" s="8"/>
    </row>
    <row r="23" spans="1:6" ht="45" customHeight="1">
      <c r="A23" s="7">
        <v>18</v>
      </c>
      <c r="B23" s="9" t="s">
        <v>100</v>
      </c>
      <c r="C23" s="7"/>
      <c r="D23" s="7">
        <f t="shared" si="0"/>
        <v>0</v>
      </c>
      <c r="E23" s="8"/>
      <c r="F23" s="8"/>
    </row>
    <row r="24" spans="1:6">
      <c r="A24" s="17"/>
      <c r="B24" s="33" t="s">
        <v>33</v>
      </c>
      <c r="C24" s="18">
        <f>COUNTA(A6:A23)</f>
        <v>18</v>
      </c>
      <c r="D24" s="18">
        <f>SUM(D6:D23)</f>
        <v>0</v>
      </c>
      <c r="E24" s="35" t="str">
        <f>IFERROR(SUM(D6:D23)/(COUNTIF(C6:C23,"YES")+COUNTIF(C6:C23,"NO")),"")</f>
        <v/>
      </c>
      <c r="F24" s="34" t="s">
        <v>83</v>
      </c>
    </row>
  </sheetData>
  <mergeCells count="7">
    <mergeCell ref="A4:B4"/>
    <mergeCell ref="C4:F4"/>
    <mergeCell ref="B1:F1"/>
    <mergeCell ref="A2:B2"/>
    <mergeCell ref="C2:F2"/>
    <mergeCell ref="A3:B3"/>
    <mergeCell ref="C3:F3"/>
  </mergeCells>
  <pageMargins left="0.7" right="0.7" top="0.75" bottom="0.75" header="0.3" footer="0.3"/>
  <pageSetup paperSize="9" scale="68" orientation="landscape" r:id="rId1"/>
  <headerFooter>
    <oddHeader>&amp;LDOC ID - 251001-FR34SCL-HSE-V01&amp;RRev: 00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Sheet1!$G$10:$G$12</xm:f>
          </x14:formula1>
          <xm:sqref>C6:C23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ABA58"/>
    <pageSetUpPr fitToPage="1"/>
  </sheetPr>
  <dimension ref="A1:F19"/>
  <sheetViews>
    <sheetView topLeftCell="A8" zoomScaleNormal="100" workbookViewId="0">
      <selection activeCell="C17" sqref="C17:C18"/>
    </sheetView>
  </sheetViews>
  <sheetFormatPr defaultColWidth="9.109375" defaultRowHeight="14.4"/>
  <cols>
    <col min="1" max="1" width="10" style="2" customWidth="1"/>
    <col min="2" max="2" width="59.44140625" style="1" customWidth="1"/>
    <col min="3" max="4" width="11.33203125" style="2" customWidth="1"/>
    <col min="5" max="5" width="32.44140625" style="1" customWidth="1"/>
    <col min="6" max="6" width="41" style="1" customWidth="1"/>
    <col min="7" max="16384" width="9.109375" style="1"/>
  </cols>
  <sheetData>
    <row r="1" spans="1:6" ht="45.6" customHeight="1">
      <c r="A1" s="3"/>
      <c r="B1" s="44" t="s">
        <v>34</v>
      </c>
      <c r="C1" s="44"/>
      <c r="D1" s="44"/>
      <c r="E1" s="44"/>
      <c r="F1" s="45"/>
    </row>
    <row r="2" spans="1:6" ht="24.9" customHeight="1">
      <c r="A2" s="39" t="s">
        <v>10</v>
      </c>
      <c r="B2" s="40"/>
      <c r="C2" s="46"/>
      <c r="D2" s="42"/>
      <c r="E2" s="42"/>
      <c r="F2" s="43"/>
    </row>
    <row r="3" spans="1:6" ht="24.9" customHeight="1">
      <c r="A3" s="39" t="s">
        <v>11</v>
      </c>
      <c r="B3" s="40"/>
      <c r="C3" s="41"/>
      <c r="D3" s="42"/>
      <c r="E3" s="42"/>
      <c r="F3" s="43"/>
    </row>
    <row r="4" spans="1:6" ht="24.9" customHeight="1">
      <c r="A4" s="39" t="s">
        <v>31</v>
      </c>
      <c r="B4" s="40"/>
      <c r="C4" s="41"/>
      <c r="D4" s="42"/>
      <c r="E4" s="42"/>
      <c r="F4" s="43"/>
    </row>
    <row r="5" spans="1:6" ht="33.75" customHeight="1">
      <c r="A5" s="5" t="s">
        <v>1</v>
      </c>
      <c r="B5" s="4" t="s">
        <v>13</v>
      </c>
      <c r="C5" s="5" t="s">
        <v>14</v>
      </c>
      <c r="D5" s="5" t="s">
        <v>15</v>
      </c>
      <c r="E5" s="4" t="s">
        <v>16</v>
      </c>
      <c r="F5" s="6" t="s">
        <v>17</v>
      </c>
    </row>
    <row r="6" spans="1:6" ht="45" customHeight="1">
      <c r="A6" s="7">
        <v>1</v>
      </c>
      <c r="B6" s="9" t="s">
        <v>101</v>
      </c>
      <c r="C6" s="7"/>
      <c r="D6" s="7">
        <f>IF(C6="YES",1,IF(C6="NO",0,IF(C6="NA",0,0)))</f>
        <v>0</v>
      </c>
      <c r="E6" s="8"/>
      <c r="F6" s="8"/>
    </row>
    <row r="7" spans="1:6" ht="45" customHeight="1">
      <c r="A7" s="7">
        <v>2</v>
      </c>
      <c r="B7" s="9" t="s">
        <v>102</v>
      </c>
      <c r="C7" s="7"/>
      <c r="D7" s="7">
        <f t="shared" ref="D7:D18" si="0">IF(C7="YES",1,IF(C7="NO",0,IF(C7="NA",0,0)))</f>
        <v>0</v>
      </c>
      <c r="E7" s="8"/>
      <c r="F7" s="8"/>
    </row>
    <row r="8" spans="1:6" ht="45" customHeight="1">
      <c r="A8" s="7">
        <v>3</v>
      </c>
      <c r="B8" s="9" t="s">
        <v>103</v>
      </c>
      <c r="C8" s="7"/>
      <c r="D8" s="7">
        <f t="shared" si="0"/>
        <v>0</v>
      </c>
      <c r="E8" s="8"/>
      <c r="F8" s="8"/>
    </row>
    <row r="9" spans="1:6" ht="45" customHeight="1">
      <c r="A9" s="7">
        <v>4</v>
      </c>
      <c r="B9" s="9" t="s">
        <v>104</v>
      </c>
      <c r="C9" s="7"/>
      <c r="D9" s="7">
        <f t="shared" si="0"/>
        <v>0</v>
      </c>
      <c r="E9" s="8"/>
      <c r="F9" s="8"/>
    </row>
    <row r="10" spans="1:6" ht="45" customHeight="1">
      <c r="A10" s="7">
        <v>5</v>
      </c>
      <c r="B10" s="9" t="s">
        <v>105</v>
      </c>
      <c r="C10" s="7"/>
      <c r="D10" s="7">
        <f t="shared" si="0"/>
        <v>0</v>
      </c>
      <c r="E10" s="8"/>
      <c r="F10" s="8"/>
    </row>
    <row r="11" spans="1:6" ht="45" customHeight="1">
      <c r="A11" s="7">
        <v>6</v>
      </c>
      <c r="B11" s="9" t="s">
        <v>106</v>
      </c>
      <c r="C11" s="7"/>
      <c r="D11" s="7">
        <f t="shared" si="0"/>
        <v>0</v>
      </c>
      <c r="E11" s="8"/>
      <c r="F11" s="8"/>
    </row>
    <row r="12" spans="1:6" ht="45" customHeight="1">
      <c r="A12" s="7">
        <v>7</v>
      </c>
      <c r="B12" s="9" t="s">
        <v>107</v>
      </c>
      <c r="C12" s="7"/>
      <c r="D12" s="7">
        <f t="shared" si="0"/>
        <v>0</v>
      </c>
      <c r="E12" s="8"/>
      <c r="F12" s="8"/>
    </row>
    <row r="13" spans="1:6" ht="45" customHeight="1">
      <c r="A13" s="7">
        <v>8</v>
      </c>
      <c r="B13" s="9" t="s">
        <v>108</v>
      </c>
      <c r="C13" s="7"/>
      <c r="D13" s="7">
        <f t="shared" si="0"/>
        <v>0</v>
      </c>
      <c r="E13" s="8"/>
      <c r="F13" s="8"/>
    </row>
    <row r="14" spans="1:6" ht="45" customHeight="1">
      <c r="A14" s="7">
        <v>9</v>
      </c>
      <c r="B14" s="9" t="s">
        <v>109</v>
      </c>
      <c r="C14" s="7"/>
      <c r="D14" s="7">
        <f t="shared" si="0"/>
        <v>0</v>
      </c>
      <c r="E14" s="8"/>
      <c r="F14" s="8"/>
    </row>
    <row r="15" spans="1:6" ht="45" customHeight="1">
      <c r="A15" s="7">
        <v>10</v>
      </c>
      <c r="B15" s="9" t="s">
        <v>110</v>
      </c>
      <c r="C15" s="7"/>
      <c r="D15" s="7">
        <f t="shared" si="0"/>
        <v>0</v>
      </c>
      <c r="E15" s="8"/>
      <c r="F15" s="8"/>
    </row>
    <row r="16" spans="1:6" ht="45" customHeight="1">
      <c r="A16" s="7">
        <v>11</v>
      </c>
      <c r="B16" s="9" t="s">
        <v>111</v>
      </c>
      <c r="C16" s="7"/>
      <c r="D16" s="7">
        <f t="shared" si="0"/>
        <v>0</v>
      </c>
      <c r="E16" s="8"/>
      <c r="F16" s="8"/>
    </row>
    <row r="17" spans="1:6" ht="45" customHeight="1">
      <c r="A17" s="7">
        <v>12</v>
      </c>
      <c r="B17" s="9" t="s">
        <v>112</v>
      </c>
      <c r="C17" s="7"/>
      <c r="D17" s="7">
        <f t="shared" si="0"/>
        <v>0</v>
      </c>
      <c r="E17" s="8"/>
      <c r="F17" s="8"/>
    </row>
    <row r="18" spans="1:6" ht="45" customHeight="1">
      <c r="A18" s="7">
        <v>13</v>
      </c>
      <c r="B18" s="9" t="s">
        <v>113</v>
      </c>
      <c r="C18" s="7"/>
      <c r="D18" s="7">
        <f t="shared" si="0"/>
        <v>0</v>
      </c>
      <c r="E18" s="8"/>
      <c r="F18" s="8"/>
    </row>
    <row r="19" spans="1:6">
      <c r="A19" s="11"/>
      <c r="B19" s="12" t="s">
        <v>33</v>
      </c>
      <c r="C19" s="11">
        <f>COUNTA(A6:A18)</f>
        <v>13</v>
      </c>
      <c r="D19" s="11">
        <f>SUM(D6:D17)</f>
        <v>0</v>
      </c>
      <c r="E19" s="13" t="str">
        <f>IFERROR(SUM(D6:D18)/(COUNTIF(C6:C18,"YES")+COUNTIF(C6:C18,"NO")),"")</f>
        <v/>
      </c>
      <c r="F19" s="12" t="s">
        <v>83</v>
      </c>
    </row>
  </sheetData>
  <mergeCells count="7">
    <mergeCell ref="A4:B4"/>
    <mergeCell ref="C4:F4"/>
    <mergeCell ref="B1:F1"/>
    <mergeCell ref="A2:B2"/>
    <mergeCell ref="C2:F2"/>
    <mergeCell ref="A3:B3"/>
    <mergeCell ref="C3:F3"/>
  </mergeCells>
  <pageMargins left="0.7" right="0.7" top="0.75" bottom="0.75" header="0.3" footer="0.3"/>
  <pageSetup paperSize="9" scale="69" orientation="landscape" r:id="rId1"/>
  <headerFooter>
    <oddHeader>&amp;LDOC ID - 251001-FR34SCL-HSE-V01&amp;RRev: 00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Sheet1!$G$10:$G$12</xm:f>
          </x14:formula1>
          <xm:sqref>C6:C18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DE9D9"/>
    <pageSetUpPr fitToPage="1"/>
  </sheetPr>
  <dimension ref="A1:F20"/>
  <sheetViews>
    <sheetView topLeftCell="A8" zoomScale="95" zoomScaleNormal="95" workbookViewId="0">
      <selection activeCell="C17" sqref="C17"/>
    </sheetView>
  </sheetViews>
  <sheetFormatPr defaultColWidth="9.109375" defaultRowHeight="14.4"/>
  <cols>
    <col min="1" max="1" width="11.44140625" style="1" customWidth="1"/>
    <col min="2" max="2" width="59.44140625" style="1" customWidth="1"/>
    <col min="3" max="4" width="11.33203125" style="2" customWidth="1"/>
    <col min="5" max="5" width="35.109375" style="1" customWidth="1"/>
    <col min="6" max="6" width="43.44140625" style="1" customWidth="1"/>
    <col min="7" max="16384" width="9.109375" style="1"/>
  </cols>
  <sheetData>
    <row r="1" spans="1:6" ht="56.4" customHeight="1">
      <c r="A1" s="3"/>
      <c r="B1" s="44" t="s">
        <v>35</v>
      </c>
      <c r="C1" s="44"/>
      <c r="D1" s="44"/>
      <c r="E1" s="44"/>
      <c r="F1" s="45"/>
    </row>
    <row r="2" spans="1:6" ht="24.9" customHeight="1">
      <c r="A2" s="39" t="s">
        <v>36</v>
      </c>
      <c r="B2" s="40"/>
      <c r="C2" s="46"/>
      <c r="D2" s="42"/>
      <c r="E2" s="42"/>
      <c r="F2" s="43"/>
    </row>
    <row r="3" spans="1:6" ht="24.9" customHeight="1">
      <c r="A3" s="39" t="s">
        <v>37</v>
      </c>
      <c r="B3" s="40"/>
      <c r="C3" s="41"/>
      <c r="D3" s="42"/>
      <c r="E3" s="42"/>
      <c r="F3" s="43"/>
    </row>
    <row r="4" spans="1:6" ht="24.9" customHeight="1">
      <c r="A4" s="39" t="s">
        <v>12</v>
      </c>
      <c r="B4" s="40"/>
      <c r="C4" s="41"/>
      <c r="D4" s="42"/>
      <c r="E4" s="42"/>
      <c r="F4" s="43"/>
    </row>
    <row r="5" spans="1:6" ht="33.75" customHeight="1">
      <c r="A5" s="4" t="s">
        <v>1</v>
      </c>
      <c r="B5" s="4" t="s">
        <v>13</v>
      </c>
      <c r="C5" s="5" t="s">
        <v>14</v>
      </c>
      <c r="D5" s="5" t="s">
        <v>15</v>
      </c>
      <c r="E5" s="4" t="s">
        <v>16</v>
      </c>
      <c r="F5" s="6" t="s">
        <v>17</v>
      </c>
    </row>
    <row r="6" spans="1:6" ht="45" customHeight="1">
      <c r="A6" s="7">
        <v>1</v>
      </c>
      <c r="B6" s="9" t="s">
        <v>114</v>
      </c>
      <c r="C6" s="7"/>
      <c r="D6" s="7">
        <f>IF(C6="YES",1,IF(C6="NO",0,IF(C6="NA",0,0)))</f>
        <v>0</v>
      </c>
      <c r="E6" s="8"/>
      <c r="F6" s="8"/>
    </row>
    <row r="7" spans="1:6" ht="45" customHeight="1">
      <c r="A7" s="7">
        <v>2</v>
      </c>
      <c r="B7" s="9" t="s">
        <v>115</v>
      </c>
      <c r="C7" s="7"/>
      <c r="D7" s="7">
        <f t="shared" ref="D7:D19" si="0">IF(C7="YES",1,IF(C7="NO",0,IF(C7="NA",0,0)))</f>
        <v>0</v>
      </c>
      <c r="E7" s="8"/>
      <c r="F7" s="8"/>
    </row>
    <row r="8" spans="1:6" ht="45" customHeight="1">
      <c r="A8" s="7">
        <v>3</v>
      </c>
      <c r="B8" s="9" t="s">
        <v>116</v>
      </c>
      <c r="C8" s="7"/>
      <c r="D8" s="7">
        <f t="shared" si="0"/>
        <v>0</v>
      </c>
      <c r="E8" s="8"/>
      <c r="F8" s="8"/>
    </row>
    <row r="9" spans="1:6" ht="45" customHeight="1">
      <c r="A9" s="7">
        <v>4</v>
      </c>
      <c r="B9" s="9" t="s">
        <v>117</v>
      </c>
      <c r="C9" s="7"/>
      <c r="D9" s="7">
        <f t="shared" si="0"/>
        <v>0</v>
      </c>
      <c r="E9" s="8"/>
      <c r="F9" s="8"/>
    </row>
    <row r="10" spans="1:6" ht="45" customHeight="1">
      <c r="A10" s="7">
        <v>5</v>
      </c>
      <c r="B10" s="9" t="s">
        <v>118</v>
      </c>
      <c r="C10" s="7"/>
      <c r="D10" s="7">
        <f t="shared" si="0"/>
        <v>0</v>
      </c>
      <c r="E10" s="8"/>
      <c r="F10" s="8"/>
    </row>
    <row r="11" spans="1:6" ht="45" customHeight="1">
      <c r="A11" s="7">
        <v>6</v>
      </c>
      <c r="B11" s="9" t="s">
        <v>119</v>
      </c>
      <c r="C11" s="7"/>
      <c r="D11" s="7">
        <f t="shared" si="0"/>
        <v>0</v>
      </c>
      <c r="E11" s="8"/>
      <c r="F11" s="8"/>
    </row>
    <row r="12" spans="1:6" ht="45" customHeight="1">
      <c r="A12" s="7">
        <v>7</v>
      </c>
      <c r="B12" s="9" t="s">
        <v>120</v>
      </c>
      <c r="C12" s="7"/>
      <c r="D12" s="7">
        <f t="shared" si="0"/>
        <v>0</v>
      </c>
      <c r="E12" s="8"/>
      <c r="F12" s="8"/>
    </row>
    <row r="13" spans="1:6" ht="45" customHeight="1">
      <c r="A13" s="7">
        <v>8</v>
      </c>
      <c r="B13" s="9" t="s">
        <v>121</v>
      </c>
      <c r="C13" s="7"/>
      <c r="D13" s="7">
        <f t="shared" si="0"/>
        <v>0</v>
      </c>
      <c r="E13" s="8"/>
      <c r="F13" s="8"/>
    </row>
    <row r="14" spans="1:6" ht="45" customHeight="1">
      <c r="A14" s="7">
        <v>9</v>
      </c>
      <c r="B14" s="9" t="s">
        <v>122</v>
      </c>
      <c r="C14" s="7"/>
      <c r="D14" s="7">
        <f t="shared" si="0"/>
        <v>0</v>
      </c>
      <c r="E14" s="8"/>
      <c r="F14" s="8"/>
    </row>
    <row r="15" spans="1:6" ht="45" customHeight="1">
      <c r="A15" s="7">
        <v>10</v>
      </c>
      <c r="B15" s="9" t="s">
        <v>123</v>
      </c>
      <c r="C15" s="7"/>
      <c r="D15" s="7">
        <f t="shared" si="0"/>
        <v>0</v>
      </c>
      <c r="E15" s="8"/>
      <c r="F15" s="8"/>
    </row>
    <row r="16" spans="1:6" ht="45" customHeight="1">
      <c r="A16" s="7">
        <v>11</v>
      </c>
      <c r="B16" s="9" t="s">
        <v>124</v>
      </c>
      <c r="C16" s="7"/>
      <c r="D16" s="7">
        <f t="shared" si="0"/>
        <v>0</v>
      </c>
      <c r="E16" s="8"/>
      <c r="F16" s="8"/>
    </row>
    <row r="17" spans="1:6" ht="45" customHeight="1">
      <c r="A17" s="7">
        <v>12</v>
      </c>
      <c r="B17" s="9" t="s">
        <v>125</v>
      </c>
      <c r="C17" s="7"/>
      <c r="D17" s="7">
        <f t="shared" si="0"/>
        <v>0</v>
      </c>
      <c r="E17" s="8"/>
      <c r="F17" s="8"/>
    </row>
    <row r="18" spans="1:6" ht="45" customHeight="1">
      <c r="A18" s="7">
        <v>13</v>
      </c>
      <c r="B18" s="9" t="s">
        <v>126</v>
      </c>
      <c r="C18" s="7"/>
      <c r="D18" s="7">
        <f t="shared" si="0"/>
        <v>0</v>
      </c>
      <c r="E18" s="8"/>
      <c r="F18" s="8"/>
    </row>
    <row r="19" spans="1:6" ht="45" customHeight="1">
      <c r="A19" s="30"/>
      <c r="B19" s="9" t="s">
        <v>127</v>
      </c>
      <c r="C19" s="7"/>
      <c r="D19" s="7">
        <f t="shared" si="0"/>
        <v>0</v>
      </c>
      <c r="E19" s="8"/>
      <c r="F19" s="8"/>
    </row>
    <row r="20" spans="1:6">
      <c r="A20" s="10"/>
      <c r="B20" s="12" t="s">
        <v>33</v>
      </c>
      <c r="C20" s="12">
        <f>COUNTA(A6:A18)</f>
        <v>13</v>
      </c>
      <c r="D20" s="12">
        <f>SUM(D6:D18)</f>
        <v>0</v>
      </c>
      <c r="E20" s="12" t="str">
        <f>IFERROR(SUM(D6:D18)/(COUNTIF(C6:C18,"YES")+COUNTIF(C6:C18,"NO")),"")</f>
        <v/>
      </c>
      <c r="F20" s="12" t="s">
        <v>83</v>
      </c>
    </row>
  </sheetData>
  <mergeCells count="7">
    <mergeCell ref="A4:B4"/>
    <mergeCell ref="C4:F4"/>
    <mergeCell ref="B1:F1"/>
    <mergeCell ref="A2:B2"/>
    <mergeCell ref="C2:F2"/>
    <mergeCell ref="A3:B3"/>
    <mergeCell ref="C3:F3"/>
  </mergeCells>
  <pageMargins left="0.7" right="0.7" top="0.75" bottom="0.75" header="0.3" footer="0.3"/>
  <pageSetup paperSize="9" scale="68" orientation="landscape" r:id="rId1"/>
  <headerFooter>
    <oddHeader>&amp;LDOC ID - 251001-FR34SCL-HSE-V01&amp;RRev: 00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Sheet1!$G$10:$G$12</xm:f>
          </x14:formula1>
          <xm:sqref>C6:C19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G10:G12"/>
  <sheetViews>
    <sheetView workbookViewId="0">
      <selection activeCell="J31" sqref="J31"/>
    </sheetView>
  </sheetViews>
  <sheetFormatPr defaultColWidth="10" defaultRowHeight="14.4"/>
  <sheetData>
    <row r="10" spans="7:7">
      <c r="G10" t="s">
        <v>38</v>
      </c>
    </row>
    <row r="11" spans="7:7">
      <c r="G11" t="s">
        <v>39</v>
      </c>
    </row>
    <row r="12" spans="7:7">
      <c r="G12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F796D4EB4D054CBABF4D0E783B9ACE" ma:contentTypeVersion="12" ma:contentTypeDescription="Create a new document." ma:contentTypeScope="" ma:versionID="e354d2e6380b0de088e06833c42f3402">
  <xsd:schema xmlns:xsd="http://www.w3.org/2001/XMLSchema" xmlns:xs="http://www.w3.org/2001/XMLSchema" xmlns:p="http://schemas.microsoft.com/office/2006/metadata/properties" xmlns:ns2="f30edec9-9999-4b9d-934f-b51ef9e63b32" xmlns:ns3="1cc74758-30c2-4385-bf4e-87c831a4b4e4" targetNamespace="http://schemas.microsoft.com/office/2006/metadata/properties" ma:root="true" ma:fieldsID="559ac3e46ed5fc64fc80c616da380061" ns2:_="" ns3:_="">
    <xsd:import namespace="f30edec9-9999-4b9d-934f-b51ef9e63b32"/>
    <xsd:import namespace="1cc74758-30c2-4385-bf4e-87c831a4b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edec9-9999-4b9d-934f-b51ef9e63b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b88c85f-796a-47de-be7c-20f744f159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74758-30c2-4385-bf4e-87c831a4b4e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94f95e-99e4-4f43-b6db-937f8f7164f1}" ma:internalName="TaxCatchAll" ma:showField="CatchAllData" ma:web="1cc74758-30c2-4385-bf4e-87c831a4b4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0edec9-9999-4b9d-934f-b51ef9e63b32">
      <Terms xmlns="http://schemas.microsoft.com/office/infopath/2007/PartnerControls"/>
    </lcf76f155ced4ddcb4097134ff3c332f>
    <TaxCatchAll xmlns="1cc74758-30c2-4385-bf4e-87c831a4b4e4" xsi:nil="true"/>
  </documentManagement>
</p:properties>
</file>

<file path=customXml/itemProps1.xml><?xml version="1.0" encoding="utf-8"?>
<ds:datastoreItem xmlns:ds="http://schemas.openxmlformats.org/officeDocument/2006/customXml" ds:itemID="{6C334CF0-E910-407F-A261-990A6E7EDC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edec9-9999-4b9d-934f-b51ef9e63b32"/>
    <ds:schemaRef ds:uri="1cc74758-30c2-4385-bf4e-87c831a4b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6889FE-BC12-4873-94F2-B731592F14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17C47E-4771-40B5-A6CE-F4D266AA224B}">
  <ds:schemaRefs>
    <ds:schemaRef ds:uri="http://schemas.microsoft.com/office/2006/metadata/properties"/>
    <ds:schemaRef ds:uri="http://schemas.microsoft.com/office/infopath/2007/PartnerControls"/>
    <ds:schemaRef ds:uri="f30edec9-9999-4b9d-934f-b51ef9e63b32"/>
    <ds:schemaRef ds:uri="1cc74758-30c2-4385-bf4e-87c831a4b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Summary</vt:lpstr>
      <vt:lpstr>Outer perimeter checklist</vt:lpstr>
      <vt:lpstr>PSA Safety checklist</vt:lpstr>
      <vt:lpstr>Inner perimeter checklist</vt:lpstr>
      <vt:lpstr>Inside stadium checklist</vt:lpstr>
      <vt:lpstr>Staircase checklist</vt:lpstr>
      <vt:lpstr>Prematch checklist</vt:lpstr>
      <vt:lpstr>Sheet1</vt:lpstr>
      <vt:lpstr>'Inner perimeter checklist'!Print_Area</vt:lpstr>
      <vt:lpstr>'Inside stadium checklist'!Print_Area</vt:lpstr>
      <vt:lpstr>'Outer perimeter checklist'!Print_Area</vt:lpstr>
      <vt:lpstr>'Prematch checklist'!Print_Area</vt:lpstr>
      <vt:lpstr>'PSA Safety checklist'!Print_Area</vt:lpstr>
      <vt:lpstr>'Staircase checklist'!Print_Area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Muhammad Zafar</cp:lastModifiedBy>
  <cp:revision/>
  <dcterms:created xsi:type="dcterms:W3CDTF">2019-12-08T08:47:00Z</dcterms:created>
  <dcterms:modified xsi:type="dcterms:W3CDTF">2026-09-20T15:37:02Z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ContentTypeId">
    <vt:lpwstr>0x010100B6F796D4EB4D054CBABF4D0E783B9ACE</vt:lpwstr>
  </property>
  <property fmtid="{D5CDD505-2E9C-101B-9397-08002B2CF9AE}" pid="4" name="TitusGUID">
    <vt:lpwstr>bbfd4a5b-0f8b-4fd7-9f9d-bb756bc33aa4</vt:lpwstr>
  </property>
  <property fmtid="{D5CDD505-2E9C-101B-9397-08002B2CF9AE}" pid="5" name="ICV">
    <vt:lpwstr>92663F2567F84FB5B1D86F4F4BA51623_13</vt:lpwstr>
  </property>
  <property fmtid="{D5CDD505-2E9C-101B-9397-08002B2CF9AE}" pid="6" name="KSOProductBuildVer">
    <vt:lpwstr>1033-12.2.0.23196</vt:lpwstr>
  </property>
  <property fmtid="{D5CDD505-2E9C-101B-9397-08002B2CF9AE}" pid="7" name="MediaServiceImageTags">
    <vt:lpwstr/>
  </property>
</Properties>
</file>